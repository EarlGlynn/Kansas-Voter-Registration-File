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fgArchive\2020s\2026\R\Kansas-SoS-Inactive-Voters\"/>
    </mc:Choice>
  </mc:AlternateContent>
  <xr:revisionPtr revIDLastSave="0" documentId="13_ncr:1_{395C9FEB-4341-407A-81E8-579328B8D936}" xr6:coauthVersionLast="47" xr6:coauthVersionMax="47" xr10:uidLastSave="{00000000-0000-0000-0000-000000000000}"/>
  <bookViews>
    <workbookView xWindow="3144" yWindow="1596" windowWidth="27876" windowHeight="194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B3" i="1"/>
  <c r="D3" i="1"/>
  <c r="B2" i="1"/>
  <c r="D2" i="1"/>
  <c r="R2" i="1" s="1"/>
  <c r="D4" i="1"/>
  <c r="D5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7" i="1"/>
  <c r="R6" i="1"/>
  <c r="R4" i="1" l="1"/>
  <c r="B4" i="1"/>
  <c r="B5" i="1"/>
  <c r="R5" i="1"/>
</calcChain>
</file>

<file path=xl/sharedStrings.xml><?xml version="1.0" encoding="utf-8"?>
<sst xmlns="http://schemas.openxmlformats.org/spreadsheetml/2006/main" count="72" uniqueCount="70">
  <si>
    <t>Source</t>
  </si>
  <si>
    <t>n</t>
  </si>
  <si>
    <t>nParty</t>
  </si>
  <si>
    <t>nVoter</t>
  </si>
  <si>
    <t>nName</t>
  </si>
  <si>
    <t>nAddress</t>
  </si>
  <si>
    <t>nActive</t>
  </si>
  <si>
    <t>nInactive</t>
  </si>
  <si>
    <t>nSuspended</t>
  </si>
  <si>
    <t>nDemocratic</t>
  </si>
  <si>
    <t>nLibertarian</t>
  </si>
  <si>
    <t>nReform</t>
  </si>
  <si>
    <t>nRepublican</t>
  </si>
  <si>
    <t>nUnaffiliated</t>
  </si>
  <si>
    <t>nNoLabelsKansas</t>
  </si>
  <si>
    <t>nUnitedKansas</t>
  </si>
  <si>
    <t>nUnknown</t>
  </si>
  <si>
    <t>2008-07-02</t>
  </si>
  <si>
    <t>2008-10-20</t>
  </si>
  <si>
    <t>2009-01-22</t>
  </si>
  <si>
    <t>2009-12-29</t>
  </si>
  <si>
    <t>2010-06-16</t>
  </si>
  <si>
    <t>2010-12-10</t>
  </si>
  <si>
    <t>2011-05-12</t>
  </si>
  <si>
    <t>2012-02-24</t>
  </si>
  <si>
    <t>2012-09-13</t>
  </si>
  <si>
    <t>2013-07-15</t>
  </si>
  <si>
    <t>2013-11-04</t>
  </si>
  <si>
    <t>2014-02-14</t>
  </si>
  <si>
    <t>2014-09-10</t>
  </si>
  <si>
    <t>2015-01-13</t>
  </si>
  <si>
    <t>2016-02-08</t>
  </si>
  <si>
    <t>2016-08-30</t>
  </si>
  <si>
    <t>2017-02-13</t>
  </si>
  <si>
    <t>2017-09-20</t>
  </si>
  <si>
    <t>2018-05-02</t>
  </si>
  <si>
    <t>2018-09-24</t>
  </si>
  <si>
    <t>2019-01-15</t>
  </si>
  <si>
    <t>2019-10-10</t>
  </si>
  <si>
    <t>2020-02-14</t>
  </si>
  <si>
    <t>2020-09-04</t>
  </si>
  <si>
    <t>2021-02-05</t>
  </si>
  <si>
    <t>2021-09-02</t>
  </si>
  <si>
    <t>2022-01-26</t>
  </si>
  <si>
    <t>2022-09-13</t>
  </si>
  <si>
    <t>2023-02-13</t>
  </si>
  <si>
    <t>2023-03-21</t>
  </si>
  <si>
    <t>2023-06-29</t>
  </si>
  <si>
    <t>2023-08-25</t>
  </si>
  <si>
    <t>2024-01-03</t>
  </si>
  <si>
    <t>2024-05-02</t>
  </si>
  <si>
    <t>2024-06-24</t>
  </si>
  <si>
    <t>2024-08-12</t>
  </si>
  <si>
    <t>2024-09-06</t>
  </si>
  <si>
    <t>2024-10-22</t>
  </si>
  <si>
    <t>2025-01-02</t>
  </si>
  <si>
    <t>2025-05-02</t>
  </si>
  <si>
    <t>2025-09-04</t>
  </si>
  <si>
    <t>2026-01-09</t>
  </si>
  <si>
    <t>2026-05-04</t>
  </si>
  <si>
    <t>%Inactive</t>
  </si>
  <si>
    <t>2008-01-28</t>
  </si>
  <si>
    <t>2007-11-14</t>
  </si>
  <si>
    <t>2006-05-17</t>
  </si>
  <si>
    <t>Reference</t>
  </si>
  <si>
    <t>2006-09-05/2006-09-05-KS-Datafields.doc</t>
  </si>
  <si>
    <t>cde_registrant_status.csv</t>
  </si>
  <si>
    <t>Ref2</t>
  </si>
  <si>
    <t>http://kansasmeadowlark.com/2008/01-13/index.htm</t>
  </si>
  <si>
    <t>2006-12-26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</si>
</sst>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3" fontId="1" fillId="2" borderId="1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quotePrefix="1" applyNumberForma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quotePrefix="1" applyAlignment="1">
      <alignment horizontal="center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tabSelected="1" workbookViewId="0">
      <pane ySplit="1" topLeftCell="A2" activePane="bottomLeft" state="frozen"/>
      <selection pane="bottomLeft" activeCell="A22" sqref="A22:XFD22"/>
    </sheetView>
  </sheetViews>
  <sheetFormatPr defaultRowHeight="14.4" x14ac:dyDescent="0.3"/>
  <cols>
    <col min="1" max="1" width="10.33203125" bestFit="1" customWidth="1"/>
    <col min="2" max="2" width="8.88671875" style="10" bestFit="1" customWidth="1"/>
    <col min="3" max="3" width="6.5546875" bestFit="1" customWidth="1"/>
    <col min="4" max="8" width="8.88671875" style="6" bestFit="1" customWidth="1"/>
    <col min="9" max="9" width="11.44140625" bestFit="1" customWidth="1"/>
    <col min="10" max="10" width="11.6640625" bestFit="1" customWidth="1"/>
    <col min="11" max="11" width="11.109375" bestFit="1" customWidth="1"/>
    <col min="12" max="12" width="8.33203125" bestFit="1" customWidth="1"/>
    <col min="13" max="13" width="11.44140625" bestFit="1" customWidth="1"/>
    <col min="14" max="14" width="12" bestFit="1" customWidth="1"/>
    <col min="15" max="15" width="15.6640625" bestFit="1" customWidth="1"/>
    <col min="16" max="16" width="13.6640625" bestFit="1" customWidth="1"/>
    <col min="17" max="17" width="10.33203125" bestFit="1" customWidth="1"/>
    <col min="18" max="18" width="11.44140625" style="3" customWidth="1"/>
    <col min="19" max="19" width="35.44140625" style="15" customWidth="1"/>
    <col min="20" max="20" width="45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60</v>
      </c>
      <c r="S1" s="14" t="s">
        <v>64</v>
      </c>
      <c r="T1" s="1" t="s">
        <v>67</v>
      </c>
    </row>
    <row r="2" spans="1:20" s="7" customFormat="1" x14ac:dyDescent="0.3">
      <c r="A2" s="12" t="s">
        <v>63</v>
      </c>
      <c r="B2" s="11">
        <f>D2</f>
        <v>1645777</v>
      </c>
      <c r="C2" s="10"/>
      <c r="D2" s="6">
        <f>G2+H2</f>
        <v>1645777</v>
      </c>
      <c r="E2" s="13"/>
      <c r="F2" s="13"/>
      <c r="G2" s="13">
        <v>1551607</v>
      </c>
      <c r="H2" s="13">
        <v>94170</v>
      </c>
      <c r="R2" s="3">
        <f t="shared" ref="R2:R7" si="0">H2/D2</f>
        <v>5.7219173679058585E-2</v>
      </c>
      <c r="S2" s="15" t="s">
        <v>65</v>
      </c>
    </row>
    <row r="3" spans="1:20" s="7" customFormat="1" x14ac:dyDescent="0.3">
      <c r="A3" s="12" t="s">
        <v>69</v>
      </c>
      <c r="B3" s="11">
        <f>D3</f>
        <v>1662286</v>
      </c>
      <c r="C3" s="10"/>
      <c r="D3" s="6">
        <f>G3+H3</f>
        <v>1662286</v>
      </c>
      <c r="E3" s="13"/>
      <c r="F3" s="13"/>
      <c r="G3" s="13">
        <v>1517611</v>
      </c>
      <c r="H3" s="13">
        <v>144675</v>
      </c>
      <c r="R3" s="3">
        <f t="shared" si="0"/>
        <v>8.7033759533558006E-2</v>
      </c>
      <c r="S3" s="15"/>
      <c r="T3" s="7" t="s">
        <v>68</v>
      </c>
    </row>
    <row r="4" spans="1:20" s="7" customFormat="1" x14ac:dyDescent="0.3">
      <c r="A4" s="12" t="s">
        <v>62</v>
      </c>
      <c r="B4" s="11">
        <f>D4</f>
        <v>1633591</v>
      </c>
      <c r="D4" s="6">
        <f>G4+H4</f>
        <v>1633591</v>
      </c>
      <c r="E4" s="8"/>
      <c r="F4" s="8"/>
      <c r="G4" s="8">
        <v>1479370</v>
      </c>
      <c r="H4" s="13">
        <v>154221</v>
      </c>
      <c r="R4" s="3">
        <f t="shared" si="0"/>
        <v>9.4406127359908318E-2</v>
      </c>
      <c r="S4" s="15" t="s">
        <v>66</v>
      </c>
      <c r="T4" s="7" t="s">
        <v>68</v>
      </c>
    </row>
    <row r="5" spans="1:20" s="7" customFormat="1" x14ac:dyDescent="0.3">
      <c r="A5" s="9" t="s">
        <v>61</v>
      </c>
      <c r="B5" s="11">
        <f>D5</f>
        <v>1637220</v>
      </c>
      <c r="D5" s="6">
        <f>G5+H5</f>
        <v>1637220</v>
      </c>
      <c r="E5" s="8"/>
      <c r="F5" s="8"/>
      <c r="G5" s="8">
        <v>1474320</v>
      </c>
      <c r="H5" s="6">
        <v>162900</v>
      </c>
      <c r="R5" s="3">
        <f t="shared" si="0"/>
        <v>9.9497929416938469E-2</v>
      </c>
      <c r="S5" s="15" t="s">
        <v>66</v>
      </c>
    </row>
    <row r="6" spans="1:20" x14ac:dyDescent="0.3">
      <c r="A6" t="s">
        <v>17</v>
      </c>
      <c r="B6" s="10">
        <v>1647819</v>
      </c>
      <c r="C6">
        <v>6</v>
      </c>
      <c r="D6" s="6">
        <v>1647819</v>
      </c>
      <c r="E6" s="6">
        <v>1583561</v>
      </c>
      <c r="F6" s="6">
        <v>899149</v>
      </c>
      <c r="G6" s="6">
        <v>1459163</v>
      </c>
      <c r="H6" s="6">
        <v>188656</v>
      </c>
      <c r="I6">
        <v>0</v>
      </c>
      <c r="J6">
        <v>448245</v>
      </c>
      <c r="K6">
        <v>9131</v>
      </c>
      <c r="L6">
        <v>1358</v>
      </c>
      <c r="M6">
        <v>738971</v>
      </c>
      <c r="N6">
        <v>450058</v>
      </c>
      <c r="O6">
        <v>0</v>
      </c>
      <c r="P6">
        <v>0</v>
      </c>
      <c r="Q6">
        <v>56</v>
      </c>
      <c r="R6" s="3">
        <f t="shared" si="0"/>
        <v>0.1144883024167096</v>
      </c>
    </row>
    <row r="7" spans="1:20" x14ac:dyDescent="0.3">
      <c r="A7" t="s">
        <v>18</v>
      </c>
      <c r="B7" s="10">
        <v>1730396</v>
      </c>
      <c r="C7">
        <v>6</v>
      </c>
      <c r="D7" s="6">
        <v>1730396</v>
      </c>
      <c r="E7" s="6">
        <v>1663730</v>
      </c>
      <c r="F7" s="6">
        <v>930575</v>
      </c>
      <c r="G7" s="6">
        <v>1558300</v>
      </c>
      <c r="H7" s="6">
        <v>172096</v>
      </c>
      <c r="I7">
        <v>0</v>
      </c>
      <c r="J7">
        <v>477748</v>
      </c>
      <c r="K7">
        <v>9646</v>
      </c>
      <c r="L7">
        <v>1353</v>
      </c>
      <c r="M7">
        <v>766881</v>
      </c>
      <c r="N7">
        <v>474716</v>
      </c>
      <c r="O7">
        <v>0</v>
      </c>
      <c r="P7">
        <v>0</v>
      </c>
      <c r="Q7">
        <v>52</v>
      </c>
      <c r="R7" s="3">
        <f t="shared" si="0"/>
        <v>9.9454691296096381E-2</v>
      </c>
    </row>
    <row r="8" spans="1:20" x14ac:dyDescent="0.3">
      <c r="A8" t="s">
        <v>19</v>
      </c>
      <c r="B8" s="10">
        <v>1722147</v>
      </c>
      <c r="C8">
        <v>6</v>
      </c>
      <c r="D8" s="6">
        <v>1722147</v>
      </c>
      <c r="E8" s="6">
        <v>1657385</v>
      </c>
      <c r="F8" s="6">
        <v>931100</v>
      </c>
      <c r="G8" s="6">
        <v>1603174</v>
      </c>
      <c r="H8" s="6">
        <v>118973</v>
      </c>
      <c r="I8">
        <v>0</v>
      </c>
      <c r="J8">
        <v>478571</v>
      </c>
      <c r="K8">
        <v>9614</v>
      </c>
      <c r="L8">
        <v>1313</v>
      </c>
      <c r="M8">
        <v>757750</v>
      </c>
      <c r="N8">
        <v>474851</v>
      </c>
      <c r="O8">
        <v>0</v>
      </c>
      <c r="P8">
        <v>0</v>
      </c>
      <c r="Q8">
        <v>48</v>
      </c>
      <c r="R8" s="3">
        <f t="shared" ref="R8:R48" si="1">H8/D8</f>
        <v>6.908411419001978E-2</v>
      </c>
    </row>
    <row r="9" spans="1:20" x14ac:dyDescent="0.3">
      <c r="A9" t="s">
        <v>20</v>
      </c>
      <c r="B9" s="10">
        <v>1699139</v>
      </c>
      <c r="C9">
        <v>6</v>
      </c>
      <c r="D9" s="6">
        <v>1699139</v>
      </c>
      <c r="E9" s="6">
        <v>1637986</v>
      </c>
      <c r="F9" s="6">
        <v>927497</v>
      </c>
      <c r="G9" s="6">
        <v>1583174</v>
      </c>
      <c r="H9" s="6">
        <v>115965</v>
      </c>
      <c r="I9">
        <v>0</v>
      </c>
      <c r="J9">
        <v>468332</v>
      </c>
      <c r="K9">
        <v>9615</v>
      </c>
      <c r="L9">
        <v>1220</v>
      </c>
      <c r="M9">
        <v>740822</v>
      </c>
      <c r="N9">
        <v>479123</v>
      </c>
      <c r="O9">
        <v>0</v>
      </c>
      <c r="P9">
        <v>0</v>
      </c>
      <c r="Q9">
        <v>27</v>
      </c>
      <c r="R9" s="3">
        <f t="shared" si="1"/>
        <v>6.824927213135594E-2</v>
      </c>
    </row>
    <row r="10" spans="1:20" x14ac:dyDescent="0.3">
      <c r="A10" t="s">
        <v>21</v>
      </c>
      <c r="B10" s="10">
        <v>1699484</v>
      </c>
      <c r="C10">
        <v>6</v>
      </c>
      <c r="D10" s="6">
        <v>1699484</v>
      </c>
      <c r="E10" s="6">
        <v>1639249</v>
      </c>
      <c r="F10" s="6">
        <v>927726</v>
      </c>
      <c r="G10" s="6">
        <v>1573386</v>
      </c>
      <c r="H10" s="6">
        <v>126098</v>
      </c>
      <c r="I10">
        <v>0</v>
      </c>
      <c r="J10">
        <v>462398</v>
      </c>
      <c r="K10">
        <v>9856</v>
      </c>
      <c r="L10">
        <v>1169</v>
      </c>
      <c r="M10">
        <v>738691</v>
      </c>
      <c r="N10">
        <v>487343</v>
      </c>
      <c r="O10">
        <v>0</v>
      </c>
      <c r="P10">
        <v>0</v>
      </c>
      <c r="Q10">
        <v>27</v>
      </c>
      <c r="R10" s="3">
        <f t="shared" si="1"/>
        <v>7.4197815336890488E-2</v>
      </c>
    </row>
    <row r="11" spans="1:20" x14ac:dyDescent="0.3">
      <c r="A11" t="s">
        <v>22</v>
      </c>
      <c r="B11" s="10">
        <v>1708203</v>
      </c>
      <c r="C11">
        <v>6</v>
      </c>
      <c r="D11" s="6">
        <v>1708203</v>
      </c>
      <c r="E11" s="6">
        <v>1648958</v>
      </c>
      <c r="F11" s="6">
        <v>931266</v>
      </c>
      <c r="G11" s="6">
        <v>1590219</v>
      </c>
      <c r="H11" s="6">
        <v>117984</v>
      </c>
      <c r="I11">
        <v>0</v>
      </c>
      <c r="J11">
        <v>454637</v>
      </c>
      <c r="K11">
        <v>10058</v>
      </c>
      <c r="L11">
        <v>1118</v>
      </c>
      <c r="M11">
        <v>760381</v>
      </c>
      <c r="N11">
        <v>482008</v>
      </c>
      <c r="O11">
        <v>0</v>
      </c>
      <c r="P11">
        <v>0</v>
      </c>
      <c r="Q11">
        <v>1</v>
      </c>
      <c r="R11" s="3">
        <f t="shared" si="1"/>
        <v>6.906907434303769E-2</v>
      </c>
    </row>
    <row r="12" spans="1:20" x14ac:dyDescent="0.3">
      <c r="A12" t="s">
        <v>23</v>
      </c>
      <c r="B12" s="10">
        <v>1695136</v>
      </c>
      <c r="C12">
        <v>6</v>
      </c>
      <c r="D12" s="6">
        <v>1695136</v>
      </c>
      <c r="E12" s="6">
        <v>1637370</v>
      </c>
      <c r="F12" s="6">
        <v>927430</v>
      </c>
      <c r="G12" s="6">
        <v>1576995</v>
      </c>
      <c r="H12" s="6">
        <v>118141</v>
      </c>
      <c r="I12">
        <v>0</v>
      </c>
      <c r="J12">
        <v>447192</v>
      </c>
      <c r="K12">
        <v>10085</v>
      </c>
      <c r="L12">
        <v>1091</v>
      </c>
      <c r="M12">
        <v>753706</v>
      </c>
      <c r="N12">
        <v>483037</v>
      </c>
      <c r="O12">
        <v>0</v>
      </c>
      <c r="P12">
        <v>0</v>
      </c>
      <c r="Q12">
        <v>25</v>
      </c>
      <c r="R12" s="3">
        <f t="shared" si="1"/>
        <v>6.9694113038717836E-2</v>
      </c>
    </row>
    <row r="13" spans="1:20" x14ac:dyDescent="0.3">
      <c r="A13" t="s">
        <v>24</v>
      </c>
      <c r="B13" s="10">
        <v>1705040</v>
      </c>
      <c r="C13">
        <v>6</v>
      </c>
      <c r="D13" s="6">
        <v>1705040</v>
      </c>
      <c r="E13" s="6">
        <v>1648057</v>
      </c>
      <c r="F13" s="6">
        <v>932159</v>
      </c>
      <c r="G13" s="6">
        <v>1566584</v>
      </c>
      <c r="H13" s="6">
        <v>138456</v>
      </c>
      <c r="I13">
        <v>0</v>
      </c>
      <c r="J13">
        <v>441098</v>
      </c>
      <c r="K13">
        <v>10183</v>
      </c>
      <c r="L13">
        <v>1043</v>
      </c>
      <c r="M13">
        <v>754545</v>
      </c>
      <c r="N13">
        <v>498164</v>
      </c>
      <c r="O13">
        <v>0</v>
      </c>
      <c r="P13">
        <v>0</v>
      </c>
      <c r="Q13">
        <v>7</v>
      </c>
      <c r="R13" s="3">
        <f t="shared" si="1"/>
        <v>8.1203960024398253E-2</v>
      </c>
    </row>
    <row r="14" spans="1:20" x14ac:dyDescent="0.3">
      <c r="A14" t="s">
        <v>25</v>
      </c>
      <c r="B14" s="10">
        <v>1734689</v>
      </c>
      <c r="C14">
        <v>6</v>
      </c>
      <c r="D14" s="6">
        <v>1734689</v>
      </c>
      <c r="E14" s="6">
        <v>1677359</v>
      </c>
      <c r="F14" s="6">
        <v>940523</v>
      </c>
      <c r="G14" s="6">
        <v>1566739</v>
      </c>
      <c r="H14" s="6">
        <v>167950</v>
      </c>
      <c r="I14">
        <v>0</v>
      </c>
      <c r="J14">
        <v>437701</v>
      </c>
      <c r="K14">
        <v>10674</v>
      </c>
      <c r="L14">
        <v>975</v>
      </c>
      <c r="M14">
        <v>780670</v>
      </c>
      <c r="N14">
        <v>503704</v>
      </c>
      <c r="O14">
        <v>0</v>
      </c>
      <c r="P14">
        <v>0</v>
      </c>
      <c r="Q14">
        <v>965</v>
      </c>
      <c r="R14" s="3">
        <f t="shared" si="1"/>
        <v>9.6818507524979988E-2</v>
      </c>
    </row>
    <row r="15" spans="1:20" x14ac:dyDescent="0.3">
      <c r="A15" t="s">
        <v>26</v>
      </c>
      <c r="B15" s="10">
        <v>1737652</v>
      </c>
      <c r="C15">
        <v>5</v>
      </c>
      <c r="D15" s="6">
        <v>1737652</v>
      </c>
      <c r="E15" s="6">
        <v>1681975</v>
      </c>
      <c r="F15" s="6">
        <v>943771</v>
      </c>
      <c r="G15" s="6">
        <v>1592950</v>
      </c>
      <c r="H15" s="6">
        <v>144702</v>
      </c>
      <c r="I15">
        <v>0</v>
      </c>
      <c r="J15">
        <v>431470</v>
      </c>
      <c r="K15">
        <v>11747</v>
      </c>
      <c r="L15">
        <v>0</v>
      </c>
      <c r="M15">
        <v>772398</v>
      </c>
      <c r="N15">
        <v>521613</v>
      </c>
      <c r="O15">
        <v>0</v>
      </c>
      <c r="P15">
        <v>0</v>
      </c>
      <c r="Q15">
        <v>424</v>
      </c>
      <c r="R15" s="3">
        <f t="shared" si="1"/>
        <v>8.3274441602806545E-2</v>
      </c>
    </row>
    <row r="16" spans="1:20" x14ac:dyDescent="0.3">
      <c r="A16" t="s">
        <v>27</v>
      </c>
      <c r="B16" s="10">
        <v>1723040</v>
      </c>
      <c r="C16">
        <v>5</v>
      </c>
      <c r="D16" s="6">
        <v>1723040</v>
      </c>
      <c r="E16" s="6">
        <v>1668428</v>
      </c>
      <c r="F16" s="6">
        <v>939598</v>
      </c>
      <c r="G16" s="6">
        <v>1577240</v>
      </c>
      <c r="H16" s="6">
        <v>145800</v>
      </c>
      <c r="I16">
        <v>0</v>
      </c>
      <c r="J16">
        <v>424610</v>
      </c>
      <c r="K16">
        <v>11910</v>
      </c>
      <c r="L16">
        <v>0</v>
      </c>
      <c r="M16">
        <v>765669</v>
      </c>
      <c r="N16">
        <v>520432</v>
      </c>
      <c r="O16">
        <v>0</v>
      </c>
      <c r="P16">
        <v>0</v>
      </c>
      <c r="Q16">
        <v>419</v>
      </c>
      <c r="R16" s="3">
        <f t="shared" si="1"/>
        <v>8.4617884668957186E-2</v>
      </c>
    </row>
    <row r="17" spans="1:18" x14ac:dyDescent="0.3">
      <c r="A17" t="s">
        <v>28</v>
      </c>
      <c r="B17" s="10">
        <v>1728659</v>
      </c>
      <c r="C17">
        <v>5</v>
      </c>
      <c r="D17" s="6">
        <v>1728659</v>
      </c>
      <c r="E17" s="6">
        <v>1674173</v>
      </c>
      <c r="F17" s="6">
        <v>941011</v>
      </c>
      <c r="G17" s="6">
        <v>1578675</v>
      </c>
      <c r="H17" s="6">
        <v>149984</v>
      </c>
      <c r="I17">
        <v>0</v>
      </c>
      <c r="J17">
        <v>423672</v>
      </c>
      <c r="K17">
        <v>12255</v>
      </c>
      <c r="L17">
        <v>0</v>
      </c>
      <c r="M17">
        <v>764926</v>
      </c>
      <c r="N17">
        <v>527391</v>
      </c>
      <c r="O17">
        <v>0</v>
      </c>
      <c r="P17">
        <v>0</v>
      </c>
      <c r="Q17">
        <v>415</v>
      </c>
      <c r="R17" s="3">
        <f t="shared" si="1"/>
        <v>8.6763207781291735E-2</v>
      </c>
    </row>
    <row r="18" spans="1:18" x14ac:dyDescent="0.3">
      <c r="A18" t="s">
        <v>29</v>
      </c>
      <c r="B18" s="10">
        <v>1737361</v>
      </c>
      <c r="C18">
        <v>5</v>
      </c>
      <c r="D18" s="6">
        <v>1737361</v>
      </c>
      <c r="E18" s="6">
        <v>1683296</v>
      </c>
      <c r="F18" s="6">
        <v>942641</v>
      </c>
      <c r="G18" s="6">
        <v>1553500</v>
      </c>
      <c r="H18" s="6">
        <v>183861</v>
      </c>
      <c r="I18">
        <v>0</v>
      </c>
      <c r="J18">
        <v>426534</v>
      </c>
      <c r="K18">
        <v>12745</v>
      </c>
      <c r="L18">
        <v>0</v>
      </c>
      <c r="M18">
        <v>776486</v>
      </c>
      <c r="N18">
        <v>521595</v>
      </c>
      <c r="O18">
        <v>0</v>
      </c>
      <c r="P18">
        <v>0</v>
      </c>
      <c r="Q18">
        <v>1</v>
      </c>
      <c r="R18" s="3">
        <f t="shared" si="1"/>
        <v>0.10582774679528319</v>
      </c>
    </row>
    <row r="19" spans="1:18" x14ac:dyDescent="0.3">
      <c r="A19" t="s">
        <v>30</v>
      </c>
      <c r="B19" s="10">
        <v>1717578</v>
      </c>
      <c r="C19">
        <v>4</v>
      </c>
      <c r="D19" s="6">
        <v>1717578</v>
      </c>
      <c r="E19" s="6">
        <v>1665228</v>
      </c>
      <c r="F19" s="6">
        <v>937029</v>
      </c>
      <c r="G19" s="6">
        <v>1565074</v>
      </c>
      <c r="H19" s="6">
        <v>152504</v>
      </c>
      <c r="I19">
        <v>0</v>
      </c>
      <c r="J19">
        <v>414797</v>
      </c>
      <c r="K19">
        <v>12962</v>
      </c>
      <c r="L19">
        <v>0</v>
      </c>
      <c r="M19">
        <v>769012</v>
      </c>
      <c r="N19">
        <v>520807</v>
      </c>
      <c r="O19">
        <v>0</v>
      </c>
      <c r="P19">
        <v>0</v>
      </c>
      <c r="Q19">
        <v>0</v>
      </c>
      <c r="R19" s="3">
        <f t="shared" si="1"/>
        <v>8.8790145192823855E-2</v>
      </c>
    </row>
    <row r="20" spans="1:18" x14ac:dyDescent="0.3">
      <c r="A20" t="s">
        <v>31</v>
      </c>
      <c r="B20" s="10">
        <v>1724342</v>
      </c>
      <c r="C20">
        <v>4</v>
      </c>
      <c r="D20" s="6">
        <v>1724342</v>
      </c>
      <c r="E20" s="6">
        <v>1673254</v>
      </c>
      <c r="F20" s="6">
        <v>939943</v>
      </c>
      <c r="G20" s="6">
        <v>1558318</v>
      </c>
      <c r="H20" s="6">
        <v>166024</v>
      </c>
      <c r="I20">
        <v>0</v>
      </c>
      <c r="J20">
        <v>411383</v>
      </c>
      <c r="K20">
        <v>13415</v>
      </c>
      <c r="L20">
        <v>0</v>
      </c>
      <c r="M20">
        <v>763629</v>
      </c>
      <c r="N20">
        <v>535915</v>
      </c>
      <c r="O20">
        <v>0</v>
      </c>
      <c r="P20">
        <v>0</v>
      </c>
      <c r="Q20">
        <v>0</v>
      </c>
      <c r="R20" s="3">
        <f t="shared" si="1"/>
        <v>9.6282524000459307E-2</v>
      </c>
    </row>
    <row r="21" spans="1:18" x14ac:dyDescent="0.3">
      <c r="A21" t="s">
        <v>32</v>
      </c>
      <c r="B21" s="10">
        <v>1758564</v>
      </c>
      <c r="C21">
        <v>4</v>
      </c>
      <c r="D21" s="6">
        <v>1758564</v>
      </c>
      <c r="E21" s="6">
        <v>1707291</v>
      </c>
      <c r="F21" s="6">
        <v>950267</v>
      </c>
      <c r="G21" s="6">
        <v>1572001</v>
      </c>
      <c r="H21" s="6">
        <v>186563</v>
      </c>
      <c r="I21">
        <v>0</v>
      </c>
      <c r="J21">
        <v>438910</v>
      </c>
      <c r="K21">
        <v>13853</v>
      </c>
      <c r="L21">
        <v>0</v>
      </c>
      <c r="M21">
        <v>790254</v>
      </c>
      <c r="N21">
        <v>515547</v>
      </c>
      <c r="O21">
        <v>0</v>
      </c>
      <c r="P21">
        <v>0</v>
      </c>
      <c r="Q21">
        <v>0</v>
      </c>
      <c r="R21" s="3">
        <f t="shared" si="1"/>
        <v>0.10608826292361268</v>
      </c>
    </row>
    <row r="22" spans="1:18" x14ac:dyDescent="0.3">
      <c r="A22" t="s">
        <v>33</v>
      </c>
      <c r="B22" s="10">
        <v>1794914</v>
      </c>
      <c r="C22">
        <v>4</v>
      </c>
      <c r="D22" s="6">
        <v>1794914</v>
      </c>
      <c r="E22" s="6">
        <v>1743157</v>
      </c>
      <c r="F22" s="6">
        <v>964960</v>
      </c>
      <c r="G22" s="6">
        <v>1642642</v>
      </c>
      <c r="H22" s="6">
        <v>139915</v>
      </c>
      <c r="I22">
        <v>12357</v>
      </c>
      <c r="J22">
        <v>439995</v>
      </c>
      <c r="K22">
        <v>15667</v>
      </c>
      <c r="L22">
        <v>0</v>
      </c>
      <c r="M22">
        <v>798400</v>
      </c>
      <c r="N22">
        <v>540852</v>
      </c>
      <c r="O22">
        <v>0</v>
      </c>
      <c r="P22">
        <v>0</v>
      </c>
      <c r="Q22">
        <v>0</v>
      </c>
      <c r="R22" s="3">
        <f t="shared" si="1"/>
        <v>7.7950809899527226E-2</v>
      </c>
    </row>
    <row r="23" spans="1:18" x14ac:dyDescent="0.3">
      <c r="A23" t="s">
        <v>34</v>
      </c>
      <c r="B23" s="10">
        <v>1768205</v>
      </c>
      <c r="C23">
        <v>4</v>
      </c>
      <c r="D23" s="6">
        <v>1768205</v>
      </c>
      <c r="E23" s="6">
        <v>1718452</v>
      </c>
      <c r="F23" s="6">
        <v>957380</v>
      </c>
      <c r="G23" s="6">
        <v>1614112</v>
      </c>
      <c r="H23" s="6">
        <v>140045</v>
      </c>
      <c r="I23">
        <v>14048</v>
      </c>
      <c r="J23">
        <v>428723</v>
      </c>
      <c r="K23">
        <v>15670</v>
      </c>
      <c r="L23">
        <v>0</v>
      </c>
      <c r="M23">
        <v>786237</v>
      </c>
      <c r="N23">
        <v>537575</v>
      </c>
      <c r="O23">
        <v>0</v>
      </c>
      <c r="P23">
        <v>0</v>
      </c>
      <c r="Q23">
        <v>0</v>
      </c>
      <c r="R23" s="3">
        <f t="shared" si="1"/>
        <v>7.9201789385280552E-2</v>
      </c>
    </row>
    <row r="24" spans="1:18" x14ac:dyDescent="0.3">
      <c r="A24" t="s">
        <v>35</v>
      </c>
      <c r="B24" s="10">
        <v>1781629</v>
      </c>
      <c r="C24">
        <v>4</v>
      </c>
      <c r="D24" s="6">
        <v>1781629</v>
      </c>
      <c r="E24" s="6">
        <v>1732110</v>
      </c>
      <c r="F24" s="6">
        <v>960637</v>
      </c>
      <c r="G24" s="6">
        <v>1596387</v>
      </c>
      <c r="H24" s="6">
        <v>167841</v>
      </c>
      <c r="I24">
        <v>17401</v>
      </c>
      <c r="J24">
        <v>428800</v>
      </c>
      <c r="K24">
        <v>16139</v>
      </c>
      <c r="L24">
        <v>0</v>
      </c>
      <c r="M24">
        <v>784537</v>
      </c>
      <c r="N24">
        <v>552153</v>
      </c>
      <c r="O24">
        <v>0</v>
      </c>
      <c r="P24">
        <v>0</v>
      </c>
      <c r="Q24">
        <v>0</v>
      </c>
      <c r="R24" s="3">
        <f t="shared" si="1"/>
        <v>9.4206481820850466E-2</v>
      </c>
    </row>
    <row r="25" spans="1:18" x14ac:dyDescent="0.3">
      <c r="A25" t="s">
        <v>36</v>
      </c>
      <c r="B25" s="10">
        <v>1813883</v>
      </c>
      <c r="C25">
        <v>5</v>
      </c>
      <c r="D25" s="6">
        <v>1813883</v>
      </c>
      <c r="E25" s="6">
        <v>1763668</v>
      </c>
      <c r="F25" s="6">
        <v>971607</v>
      </c>
      <c r="G25" s="6">
        <v>1643840</v>
      </c>
      <c r="H25" s="6">
        <v>170043</v>
      </c>
      <c r="I25">
        <v>0</v>
      </c>
      <c r="J25">
        <v>456467</v>
      </c>
      <c r="K25">
        <v>16902</v>
      </c>
      <c r="L25">
        <v>0</v>
      </c>
      <c r="M25">
        <v>811096</v>
      </c>
      <c r="N25">
        <v>529407</v>
      </c>
      <c r="O25">
        <v>0</v>
      </c>
      <c r="P25">
        <v>0</v>
      </c>
      <c r="Q25">
        <v>11</v>
      </c>
      <c r="R25" s="3">
        <f t="shared" si="1"/>
        <v>9.374529669223429E-2</v>
      </c>
    </row>
    <row r="26" spans="1:18" x14ac:dyDescent="0.3">
      <c r="A26" t="s">
        <v>37</v>
      </c>
      <c r="B26" s="10">
        <v>1822143</v>
      </c>
      <c r="C26">
        <v>4</v>
      </c>
      <c r="D26" s="6">
        <v>1822143</v>
      </c>
      <c r="E26" s="6">
        <v>1772227</v>
      </c>
      <c r="F26" s="6">
        <v>977922</v>
      </c>
      <c r="G26" s="6">
        <v>1693864</v>
      </c>
      <c r="H26" s="6">
        <v>128279</v>
      </c>
      <c r="I26">
        <v>0</v>
      </c>
      <c r="J26">
        <v>456573</v>
      </c>
      <c r="K26">
        <v>17618</v>
      </c>
      <c r="L26">
        <v>0</v>
      </c>
      <c r="M26">
        <v>809072</v>
      </c>
      <c r="N26">
        <v>538880</v>
      </c>
      <c r="O26">
        <v>0</v>
      </c>
      <c r="P26">
        <v>0</v>
      </c>
      <c r="Q26">
        <v>0</v>
      </c>
      <c r="R26" s="3">
        <f t="shared" si="1"/>
        <v>7.0400072881217329E-2</v>
      </c>
    </row>
    <row r="27" spans="1:18" x14ac:dyDescent="0.3">
      <c r="A27" t="s">
        <v>38</v>
      </c>
      <c r="B27" s="10">
        <v>1818036</v>
      </c>
      <c r="C27">
        <v>4</v>
      </c>
      <c r="D27" s="6">
        <v>1818036</v>
      </c>
      <c r="E27" s="6">
        <v>1769563</v>
      </c>
      <c r="F27" s="6">
        <v>978197</v>
      </c>
      <c r="G27" s="6">
        <v>1680887</v>
      </c>
      <c r="H27" s="6">
        <v>137149</v>
      </c>
      <c r="I27">
        <v>0</v>
      </c>
      <c r="J27">
        <v>452386</v>
      </c>
      <c r="K27">
        <v>17884</v>
      </c>
      <c r="L27">
        <v>0</v>
      </c>
      <c r="M27">
        <v>800690</v>
      </c>
      <c r="N27">
        <v>547076</v>
      </c>
      <c r="O27">
        <v>0</v>
      </c>
      <c r="P27">
        <v>0</v>
      </c>
      <c r="Q27">
        <v>0</v>
      </c>
      <c r="R27" s="3">
        <f t="shared" si="1"/>
        <v>7.5438000127610233E-2</v>
      </c>
    </row>
    <row r="28" spans="1:18" x14ac:dyDescent="0.3">
      <c r="A28" t="s">
        <v>39</v>
      </c>
      <c r="B28" s="10">
        <v>1834325</v>
      </c>
      <c r="C28">
        <v>4</v>
      </c>
      <c r="D28" s="6">
        <v>1834325</v>
      </c>
      <c r="E28" s="6">
        <v>1785851</v>
      </c>
      <c r="F28" s="6">
        <v>984045</v>
      </c>
      <c r="G28" s="6">
        <v>1689665</v>
      </c>
      <c r="H28" s="6">
        <v>144660</v>
      </c>
      <c r="I28">
        <v>0</v>
      </c>
      <c r="J28">
        <v>455724</v>
      </c>
      <c r="K28">
        <v>18220</v>
      </c>
      <c r="L28">
        <v>0</v>
      </c>
      <c r="M28">
        <v>803080</v>
      </c>
      <c r="N28">
        <v>557301</v>
      </c>
      <c r="O28">
        <v>0</v>
      </c>
      <c r="P28">
        <v>0</v>
      </c>
      <c r="Q28">
        <v>0</v>
      </c>
      <c r="R28" s="3">
        <f t="shared" si="1"/>
        <v>7.8862796941654281E-2</v>
      </c>
    </row>
    <row r="29" spans="1:18" x14ac:dyDescent="0.3">
      <c r="A29" t="s">
        <v>40</v>
      </c>
      <c r="B29" s="10">
        <v>1873356</v>
      </c>
      <c r="C29">
        <v>4</v>
      </c>
      <c r="D29" s="6">
        <v>1873356</v>
      </c>
      <c r="E29" s="6">
        <v>1824243</v>
      </c>
      <c r="F29" s="6">
        <v>995551</v>
      </c>
      <c r="G29" s="6">
        <v>1713585</v>
      </c>
      <c r="H29" s="6">
        <v>159771</v>
      </c>
      <c r="I29">
        <v>0</v>
      </c>
      <c r="J29">
        <v>500715</v>
      </c>
      <c r="K29">
        <v>19091</v>
      </c>
      <c r="L29">
        <v>0</v>
      </c>
      <c r="M29">
        <v>847268</v>
      </c>
      <c r="N29">
        <v>506282</v>
      </c>
      <c r="O29">
        <v>0</v>
      </c>
      <c r="P29">
        <v>0</v>
      </c>
      <c r="Q29">
        <v>0</v>
      </c>
      <c r="R29" s="3">
        <f t="shared" si="1"/>
        <v>8.5285978746164642E-2</v>
      </c>
    </row>
    <row r="30" spans="1:18" x14ac:dyDescent="0.3">
      <c r="A30" t="s">
        <v>41</v>
      </c>
      <c r="B30" s="10">
        <v>1919257</v>
      </c>
      <c r="C30">
        <v>4</v>
      </c>
      <c r="D30" s="6">
        <v>1919257</v>
      </c>
      <c r="E30" s="6">
        <v>1868121</v>
      </c>
      <c r="F30" s="6">
        <v>1015968</v>
      </c>
      <c r="G30" s="6">
        <v>1809202</v>
      </c>
      <c r="H30" s="6">
        <v>110055</v>
      </c>
      <c r="I30">
        <v>0</v>
      </c>
      <c r="J30">
        <v>503574</v>
      </c>
      <c r="K30">
        <v>20905</v>
      </c>
      <c r="L30">
        <v>0</v>
      </c>
      <c r="M30">
        <v>863694</v>
      </c>
      <c r="N30">
        <v>531084</v>
      </c>
      <c r="O30">
        <v>0</v>
      </c>
      <c r="P30">
        <v>0</v>
      </c>
      <c r="Q30">
        <v>0</v>
      </c>
      <c r="R30" s="3">
        <f t="shared" si="1"/>
        <v>5.734250285396901E-2</v>
      </c>
    </row>
    <row r="31" spans="1:18" x14ac:dyDescent="0.3">
      <c r="A31" t="s">
        <v>42</v>
      </c>
      <c r="B31" s="10">
        <v>1906150</v>
      </c>
      <c r="C31">
        <v>4</v>
      </c>
      <c r="D31" s="6">
        <v>1906150</v>
      </c>
      <c r="E31" s="6">
        <v>1856833</v>
      </c>
      <c r="F31" s="6">
        <v>1012316</v>
      </c>
      <c r="G31" s="6">
        <v>1787692</v>
      </c>
      <c r="H31" s="6">
        <v>118458</v>
      </c>
      <c r="I31">
        <v>0</v>
      </c>
      <c r="J31">
        <v>497353</v>
      </c>
      <c r="K31">
        <v>21079</v>
      </c>
      <c r="L31">
        <v>0</v>
      </c>
      <c r="M31">
        <v>851982</v>
      </c>
      <c r="N31">
        <v>535736</v>
      </c>
      <c r="O31">
        <v>0</v>
      </c>
      <c r="P31">
        <v>0</v>
      </c>
      <c r="Q31">
        <v>0</v>
      </c>
      <c r="R31" s="3">
        <f t="shared" si="1"/>
        <v>6.2145161713401356E-2</v>
      </c>
    </row>
    <row r="32" spans="1:18" x14ac:dyDescent="0.3">
      <c r="A32" t="s">
        <v>43</v>
      </c>
      <c r="B32" s="10">
        <v>1915340</v>
      </c>
      <c r="C32">
        <v>4</v>
      </c>
      <c r="D32" s="6">
        <v>1915340</v>
      </c>
      <c r="E32" s="6">
        <v>1866177</v>
      </c>
      <c r="F32" s="6">
        <v>1012529</v>
      </c>
      <c r="G32" s="6">
        <v>1785103</v>
      </c>
      <c r="H32" s="6">
        <v>130237</v>
      </c>
      <c r="I32">
        <v>0</v>
      </c>
      <c r="J32">
        <v>495085</v>
      </c>
      <c r="K32">
        <v>21506</v>
      </c>
      <c r="L32">
        <v>0</v>
      </c>
      <c r="M32">
        <v>850956</v>
      </c>
      <c r="N32">
        <v>547793</v>
      </c>
      <c r="O32">
        <v>0</v>
      </c>
      <c r="P32">
        <v>0</v>
      </c>
      <c r="Q32">
        <v>0</v>
      </c>
      <c r="R32" s="3">
        <f t="shared" si="1"/>
        <v>6.7996804744849482E-2</v>
      </c>
    </row>
    <row r="33" spans="1:18" x14ac:dyDescent="0.3">
      <c r="A33" t="s">
        <v>44</v>
      </c>
      <c r="B33" s="10">
        <v>1960821</v>
      </c>
      <c r="C33">
        <v>4</v>
      </c>
      <c r="D33" s="6">
        <v>1960821</v>
      </c>
      <c r="E33" s="6">
        <v>1910334</v>
      </c>
      <c r="F33" s="6">
        <v>1025610</v>
      </c>
      <c r="G33" s="6">
        <v>1820384</v>
      </c>
      <c r="H33" s="6">
        <v>140437</v>
      </c>
      <c r="I33">
        <v>0</v>
      </c>
      <c r="J33">
        <v>521629</v>
      </c>
      <c r="K33">
        <v>23875</v>
      </c>
      <c r="L33">
        <v>0</v>
      </c>
      <c r="M33">
        <v>879754</v>
      </c>
      <c r="N33">
        <v>535563</v>
      </c>
      <c r="O33">
        <v>0</v>
      </c>
      <c r="P33">
        <v>0</v>
      </c>
      <c r="Q33">
        <v>0</v>
      </c>
      <c r="R33" s="3">
        <f t="shared" si="1"/>
        <v>7.1621529961174421E-2</v>
      </c>
    </row>
    <row r="34" spans="1:18" x14ac:dyDescent="0.3">
      <c r="A34" t="s">
        <v>45</v>
      </c>
      <c r="B34" s="10">
        <v>1948077</v>
      </c>
      <c r="C34">
        <v>4</v>
      </c>
      <c r="D34" s="6">
        <v>1948077</v>
      </c>
      <c r="E34" s="6">
        <v>1898592</v>
      </c>
      <c r="F34" s="6">
        <v>1024861</v>
      </c>
      <c r="G34" s="6">
        <v>1832612</v>
      </c>
      <c r="H34" s="6">
        <v>115465</v>
      </c>
      <c r="I34">
        <v>0</v>
      </c>
      <c r="J34">
        <v>512230</v>
      </c>
      <c r="K34">
        <v>23907</v>
      </c>
      <c r="L34">
        <v>0</v>
      </c>
      <c r="M34">
        <v>873868</v>
      </c>
      <c r="N34">
        <v>538072</v>
      </c>
      <c r="O34">
        <v>0</v>
      </c>
      <c r="P34">
        <v>0</v>
      </c>
      <c r="Q34">
        <v>0</v>
      </c>
      <c r="R34" s="3">
        <f t="shared" si="1"/>
        <v>5.9271271104786923E-2</v>
      </c>
    </row>
    <row r="35" spans="1:18" x14ac:dyDescent="0.3">
      <c r="A35" t="s">
        <v>46</v>
      </c>
      <c r="B35" s="10">
        <v>1948378</v>
      </c>
      <c r="C35">
        <v>4</v>
      </c>
      <c r="D35" s="6">
        <v>1948378</v>
      </c>
      <c r="E35" s="6">
        <v>1899092</v>
      </c>
      <c r="F35" s="6">
        <v>1025083</v>
      </c>
      <c r="G35" s="6">
        <v>1831273</v>
      </c>
      <c r="H35" s="6">
        <v>117105</v>
      </c>
      <c r="I35">
        <v>0</v>
      </c>
      <c r="J35">
        <v>511552</v>
      </c>
      <c r="K35">
        <v>23933</v>
      </c>
      <c r="L35">
        <v>0</v>
      </c>
      <c r="M35">
        <v>872882</v>
      </c>
      <c r="N35">
        <v>540011</v>
      </c>
      <c r="O35">
        <v>0</v>
      </c>
      <c r="P35">
        <v>0</v>
      </c>
      <c r="Q35">
        <v>0</v>
      </c>
      <c r="R35" s="3">
        <f t="shared" si="1"/>
        <v>6.0103840219916257E-2</v>
      </c>
    </row>
    <row r="36" spans="1:18" x14ac:dyDescent="0.3">
      <c r="A36" t="s">
        <v>47</v>
      </c>
      <c r="B36" s="10">
        <v>1949291</v>
      </c>
      <c r="C36">
        <v>4</v>
      </c>
      <c r="D36" s="6">
        <v>1949291</v>
      </c>
      <c r="E36" s="6">
        <v>1900431</v>
      </c>
      <c r="F36" s="6">
        <v>1024772</v>
      </c>
      <c r="G36" s="6">
        <v>1813899</v>
      </c>
      <c r="H36" s="6">
        <v>135392</v>
      </c>
      <c r="I36">
        <v>0</v>
      </c>
      <c r="J36">
        <v>509385</v>
      </c>
      <c r="K36">
        <v>24007</v>
      </c>
      <c r="L36">
        <v>0</v>
      </c>
      <c r="M36">
        <v>870406</v>
      </c>
      <c r="N36">
        <v>545493</v>
      </c>
      <c r="O36">
        <v>0</v>
      </c>
      <c r="P36">
        <v>0</v>
      </c>
      <c r="Q36">
        <v>0</v>
      </c>
      <c r="R36" s="3">
        <f t="shared" si="1"/>
        <v>6.9457048742337602E-2</v>
      </c>
    </row>
    <row r="37" spans="1:18" x14ac:dyDescent="0.3">
      <c r="A37" t="s">
        <v>48</v>
      </c>
      <c r="B37" s="10">
        <v>1947152</v>
      </c>
      <c r="C37">
        <v>4</v>
      </c>
      <c r="D37" s="6">
        <v>1947152</v>
      </c>
      <c r="E37" s="6">
        <v>1898548</v>
      </c>
      <c r="F37" s="6">
        <v>1024673</v>
      </c>
      <c r="G37" s="6">
        <v>1813411</v>
      </c>
      <c r="H37" s="6">
        <v>133741</v>
      </c>
      <c r="I37">
        <v>0</v>
      </c>
      <c r="J37">
        <v>506864</v>
      </c>
      <c r="K37">
        <v>24031</v>
      </c>
      <c r="L37">
        <v>0</v>
      </c>
      <c r="M37">
        <v>868445</v>
      </c>
      <c r="N37">
        <v>547812</v>
      </c>
      <c r="O37">
        <v>0</v>
      </c>
      <c r="P37">
        <v>0</v>
      </c>
      <c r="Q37">
        <v>0</v>
      </c>
      <c r="R37" s="3">
        <f t="shared" si="1"/>
        <v>6.8685444176931232E-2</v>
      </c>
    </row>
    <row r="38" spans="1:18" x14ac:dyDescent="0.3">
      <c r="A38" t="s">
        <v>49</v>
      </c>
      <c r="B38" s="10">
        <v>1958566</v>
      </c>
      <c r="C38">
        <v>4</v>
      </c>
      <c r="D38" s="6">
        <v>1958566</v>
      </c>
      <c r="E38" s="6">
        <v>1909957</v>
      </c>
      <c r="F38" s="6">
        <v>1028211</v>
      </c>
      <c r="G38" s="6">
        <v>1816258</v>
      </c>
      <c r="H38" s="6">
        <v>142308</v>
      </c>
      <c r="I38">
        <v>0</v>
      </c>
      <c r="J38">
        <v>505219</v>
      </c>
      <c r="K38">
        <v>24092</v>
      </c>
      <c r="L38">
        <v>0</v>
      </c>
      <c r="M38">
        <v>869627</v>
      </c>
      <c r="N38">
        <v>559628</v>
      </c>
      <c r="O38">
        <v>0</v>
      </c>
      <c r="P38">
        <v>0</v>
      </c>
      <c r="Q38">
        <v>0</v>
      </c>
      <c r="R38" s="3">
        <f t="shared" si="1"/>
        <v>7.2659282352496676E-2</v>
      </c>
    </row>
    <row r="39" spans="1:18" x14ac:dyDescent="0.3">
      <c r="A39" t="s">
        <v>50</v>
      </c>
      <c r="B39" s="10">
        <v>1970403</v>
      </c>
      <c r="C39">
        <v>5</v>
      </c>
      <c r="D39" s="6">
        <v>1970403</v>
      </c>
      <c r="E39" s="6">
        <v>1921763</v>
      </c>
      <c r="F39" s="6">
        <v>1031581</v>
      </c>
      <c r="G39" s="6">
        <v>1828710</v>
      </c>
      <c r="H39" s="6">
        <v>141693</v>
      </c>
      <c r="I39">
        <v>0</v>
      </c>
      <c r="J39">
        <v>504567</v>
      </c>
      <c r="K39">
        <v>24198</v>
      </c>
      <c r="L39">
        <v>0</v>
      </c>
      <c r="M39">
        <v>875888</v>
      </c>
      <c r="N39">
        <v>565672</v>
      </c>
      <c r="O39">
        <v>78</v>
      </c>
      <c r="P39">
        <v>0</v>
      </c>
      <c r="Q39">
        <v>0</v>
      </c>
      <c r="R39" s="3">
        <f t="shared" si="1"/>
        <v>7.1910670050745959E-2</v>
      </c>
    </row>
    <row r="40" spans="1:18" x14ac:dyDescent="0.3">
      <c r="A40" t="s">
        <v>51</v>
      </c>
      <c r="B40" s="10">
        <v>1975884</v>
      </c>
      <c r="C40">
        <v>7</v>
      </c>
      <c r="D40" s="6">
        <v>1975884</v>
      </c>
      <c r="E40" s="6">
        <v>1927214</v>
      </c>
      <c r="F40" s="6">
        <v>1032975</v>
      </c>
      <c r="G40" s="6">
        <v>1832108</v>
      </c>
      <c r="H40" s="6">
        <v>143776</v>
      </c>
      <c r="I40">
        <v>0</v>
      </c>
      <c r="J40">
        <v>504651</v>
      </c>
      <c r="K40">
        <v>24358</v>
      </c>
      <c r="L40">
        <v>0</v>
      </c>
      <c r="M40">
        <v>877632</v>
      </c>
      <c r="N40">
        <v>568899</v>
      </c>
      <c r="O40">
        <v>313</v>
      </c>
      <c r="P40">
        <v>30</v>
      </c>
      <c r="Q40">
        <v>1</v>
      </c>
      <c r="R40" s="3">
        <f t="shared" si="1"/>
        <v>7.2765405256583884E-2</v>
      </c>
    </row>
    <row r="41" spans="1:18" x14ac:dyDescent="0.3">
      <c r="A41" t="s">
        <v>52</v>
      </c>
      <c r="B41" s="10">
        <v>1983704</v>
      </c>
      <c r="C41">
        <v>7</v>
      </c>
      <c r="D41" s="6">
        <v>1983704</v>
      </c>
      <c r="E41" s="6">
        <v>1934873</v>
      </c>
      <c r="F41" s="6">
        <v>1034471</v>
      </c>
      <c r="G41" s="6">
        <v>1841919</v>
      </c>
      <c r="H41" s="6">
        <v>141785</v>
      </c>
      <c r="I41">
        <v>0</v>
      </c>
      <c r="J41">
        <v>506234</v>
      </c>
      <c r="K41">
        <v>24497</v>
      </c>
      <c r="L41">
        <v>0</v>
      </c>
      <c r="M41">
        <v>882445</v>
      </c>
      <c r="N41">
        <v>568612</v>
      </c>
      <c r="O41">
        <v>1842</v>
      </c>
      <c r="P41">
        <v>73</v>
      </c>
      <c r="Q41">
        <v>1</v>
      </c>
      <c r="R41" s="3">
        <f t="shared" si="1"/>
        <v>7.1474877300242379E-2</v>
      </c>
    </row>
    <row r="42" spans="1:18" x14ac:dyDescent="0.3">
      <c r="A42" t="s">
        <v>53</v>
      </c>
      <c r="B42" s="10">
        <v>1995735</v>
      </c>
      <c r="C42">
        <v>7</v>
      </c>
      <c r="D42" s="6">
        <v>1995735</v>
      </c>
      <c r="E42" s="6">
        <v>1946542</v>
      </c>
      <c r="F42" s="6">
        <v>1038122</v>
      </c>
      <c r="G42" s="6">
        <v>1834935</v>
      </c>
      <c r="H42" s="6">
        <v>160800</v>
      </c>
      <c r="I42">
        <v>0</v>
      </c>
      <c r="J42">
        <v>512870</v>
      </c>
      <c r="K42">
        <v>24571</v>
      </c>
      <c r="L42">
        <v>0</v>
      </c>
      <c r="M42">
        <v>893603</v>
      </c>
      <c r="N42">
        <v>562262</v>
      </c>
      <c r="O42">
        <v>2287</v>
      </c>
      <c r="P42">
        <v>141</v>
      </c>
      <c r="Q42">
        <v>1</v>
      </c>
      <c r="R42" s="3">
        <f t="shared" si="1"/>
        <v>8.0571819404880909E-2</v>
      </c>
    </row>
    <row r="43" spans="1:18" x14ac:dyDescent="0.3">
      <c r="A43" t="s">
        <v>54</v>
      </c>
      <c r="B43" s="10">
        <v>2028311</v>
      </c>
      <c r="C43">
        <v>7</v>
      </c>
      <c r="D43" s="6">
        <v>2028311</v>
      </c>
      <c r="E43" s="6">
        <v>1977685</v>
      </c>
      <c r="F43" s="6">
        <v>1047769</v>
      </c>
      <c r="G43" s="6">
        <v>1874839</v>
      </c>
      <c r="H43" s="6">
        <v>153472</v>
      </c>
      <c r="I43">
        <v>0</v>
      </c>
      <c r="J43">
        <v>518603</v>
      </c>
      <c r="K43">
        <v>24545</v>
      </c>
      <c r="L43">
        <v>0</v>
      </c>
      <c r="M43">
        <v>907613</v>
      </c>
      <c r="N43">
        <v>573694</v>
      </c>
      <c r="O43">
        <v>3452</v>
      </c>
      <c r="P43">
        <v>403</v>
      </c>
      <c r="Q43">
        <v>1</v>
      </c>
      <c r="R43" s="3">
        <f t="shared" si="1"/>
        <v>7.5664925152010717E-2</v>
      </c>
    </row>
    <row r="44" spans="1:18" x14ac:dyDescent="0.3">
      <c r="A44" t="s">
        <v>55</v>
      </c>
      <c r="B44" s="10">
        <v>2015406</v>
      </c>
      <c r="C44">
        <v>6</v>
      </c>
      <c r="D44" s="6">
        <v>2015406</v>
      </c>
      <c r="E44" s="6">
        <v>1965261</v>
      </c>
      <c r="F44" s="6">
        <v>1048023</v>
      </c>
      <c r="G44" s="6">
        <v>1902196</v>
      </c>
      <c r="H44" s="6">
        <v>113210</v>
      </c>
      <c r="I44">
        <v>0</v>
      </c>
      <c r="J44">
        <v>509450</v>
      </c>
      <c r="K44">
        <v>24124</v>
      </c>
      <c r="L44">
        <v>0</v>
      </c>
      <c r="M44">
        <v>908532</v>
      </c>
      <c r="N44">
        <v>568237</v>
      </c>
      <c r="O44">
        <v>4399</v>
      </c>
      <c r="P44">
        <v>664</v>
      </c>
      <c r="Q44">
        <v>0</v>
      </c>
      <c r="R44" s="3">
        <f t="shared" si="1"/>
        <v>5.6172304736613866E-2</v>
      </c>
    </row>
    <row r="45" spans="1:18" x14ac:dyDescent="0.3">
      <c r="A45" t="s">
        <v>56</v>
      </c>
      <c r="B45" s="10">
        <v>2001431</v>
      </c>
      <c r="C45">
        <v>6</v>
      </c>
      <c r="D45" s="6">
        <v>2001431</v>
      </c>
      <c r="E45" s="6">
        <v>1952268</v>
      </c>
      <c r="F45" s="6">
        <v>1044647</v>
      </c>
      <c r="G45" s="6">
        <v>1883334</v>
      </c>
      <c r="H45" s="6">
        <v>118097</v>
      </c>
      <c r="I45">
        <v>0</v>
      </c>
      <c r="J45">
        <v>501075</v>
      </c>
      <c r="K45">
        <v>23892</v>
      </c>
      <c r="L45">
        <v>0</v>
      </c>
      <c r="M45">
        <v>902052</v>
      </c>
      <c r="N45">
        <v>568687</v>
      </c>
      <c r="O45">
        <v>4951</v>
      </c>
      <c r="P45">
        <v>774</v>
      </c>
      <c r="Q45">
        <v>0</v>
      </c>
      <c r="R45" s="3">
        <f t="shared" si="1"/>
        <v>5.9006281005940249E-2</v>
      </c>
    </row>
    <row r="46" spans="1:18" x14ac:dyDescent="0.3">
      <c r="A46" t="s">
        <v>57</v>
      </c>
      <c r="B46" s="10">
        <v>1998055</v>
      </c>
      <c r="C46">
        <v>6</v>
      </c>
      <c r="D46" s="6">
        <v>1998055</v>
      </c>
      <c r="E46" s="6">
        <v>1949858</v>
      </c>
      <c r="F46" s="6">
        <v>1043679</v>
      </c>
      <c r="G46" s="6">
        <v>1868601</v>
      </c>
      <c r="H46" s="6">
        <v>129454</v>
      </c>
      <c r="I46">
        <v>0</v>
      </c>
      <c r="J46">
        <v>497583</v>
      </c>
      <c r="K46">
        <v>23795</v>
      </c>
      <c r="L46">
        <v>0</v>
      </c>
      <c r="M46">
        <v>897737</v>
      </c>
      <c r="N46">
        <v>572434</v>
      </c>
      <c r="O46">
        <v>5623</v>
      </c>
      <c r="P46">
        <v>883</v>
      </c>
      <c r="Q46">
        <v>0</v>
      </c>
      <c r="R46" s="3">
        <f t="shared" si="1"/>
        <v>6.479000828305527E-2</v>
      </c>
    </row>
    <row r="47" spans="1:18" x14ac:dyDescent="0.3">
      <c r="A47" t="s">
        <v>58</v>
      </c>
      <c r="B47" s="10">
        <v>2003594</v>
      </c>
      <c r="C47">
        <v>6</v>
      </c>
      <c r="D47" s="6">
        <v>2003594</v>
      </c>
      <c r="E47" s="6">
        <v>1955819</v>
      </c>
      <c r="F47" s="6">
        <v>1045737</v>
      </c>
      <c r="G47" s="6">
        <v>1800674</v>
      </c>
      <c r="H47" s="6">
        <v>202920</v>
      </c>
      <c r="I47">
        <v>0</v>
      </c>
      <c r="J47">
        <v>495120</v>
      </c>
      <c r="K47">
        <v>23767</v>
      </c>
      <c r="L47">
        <v>0</v>
      </c>
      <c r="M47">
        <v>896300</v>
      </c>
      <c r="N47">
        <v>580985</v>
      </c>
      <c r="O47">
        <v>6395</v>
      </c>
      <c r="P47">
        <v>1027</v>
      </c>
      <c r="Q47">
        <v>0</v>
      </c>
      <c r="R47" s="3">
        <f t="shared" si="1"/>
        <v>0.10127800342784017</v>
      </c>
    </row>
    <row r="48" spans="1:18" x14ac:dyDescent="0.3">
      <c r="A48" t="s">
        <v>59</v>
      </c>
      <c r="B48" s="10">
        <v>2007582</v>
      </c>
      <c r="C48">
        <v>6</v>
      </c>
      <c r="D48" s="6">
        <v>2007582</v>
      </c>
      <c r="E48" s="6">
        <v>1960030</v>
      </c>
      <c r="F48" s="6">
        <v>1046077</v>
      </c>
      <c r="G48" s="6">
        <v>1734169</v>
      </c>
      <c r="H48" s="6">
        <v>273413</v>
      </c>
      <c r="I48">
        <v>0</v>
      </c>
      <c r="J48">
        <v>494896</v>
      </c>
      <c r="K48">
        <v>23770</v>
      </c>
      <c r="L48">
        <v>0</v>
      </c>
      <c r="M48">
        <v>893204</v>
      </c>
      <c r="N48">
        <v>587354</v>
      </c>
      <c r="O48">
        <v>7220</v>
      </c>
      <c r="P48">
        <v>1138</v>
      </c>
      <c r="Q48">
        <v>0</v>
      </c>
      <c r="R48" s="3">
        <f t="shared" si="1"/>
        <v>0.13619020294065198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</cp:lastModifiedBy>
  <dcterms:created xsi:type="dcterms:W3CDTF">2026-05-08T06:46:38Z</dcterms:created>
  <dcterms:modified xsi:type="dcterms:W3CDTF">2026-05-20T02:10:38Z</dcterms:modified>
</cp:coreProperties>
</file>